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<sst xmlns="http://schemas.openxmlformats.org/spreadsheetml/2006/main" count="18" uniqueCount="18">
  <si>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</si>
  <si>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Price</t>
  </si>
  <si>
    <t>Quantity</t>
  </si>
  <si>
    <t>Description</t>
  </si>
  <si>
    <t>Cap Pol2</t>
  </si>
  <si>
    <t>Cap Aluminum Lytic 10uF 50V 20%( 5 X 11mm) Radial 5mm 250mA 5000h 105C Ammo</t>
  </si>
  <si>
    <r>
      <rPr>
        <rFont val="Inter, Helvetica, Arial, sans-serif"/>
        <color rgb="FF1155CC"/>
        <u/>
      </rPr>
      <t>Pololu POLOLU-1213</t>
    </r>
  </si>
  <si>
    <t>DC-motor driver; IC: MC33926; 20kHz; 2.5A; Uin mot: 5÷28V</t>
  </si>
  <si>
    <r>
      <rPr>
        <rFont val="Inter, Helvetica, Arial, sans-serif"/>
        <color rgb="FF1155CC"/>
        <u/>
      </rPr>
      <t>JST B6B-ZR</t>
    </r>
  </si>
  <si>
    <r>
      <rPr>
        <rFont val="Inter, Helvetica, Arial, sans-serif"/>
        <color rgb="FF1155CC"/>
        <u/>
      </rPr>
      <t>JST B3B-EH-A(LF)(SN)</t>
    </r>
  </si>
  <si>
    <t>Connector Header, EH Series, 3 Position, 2.5mm, Through Hole, Press-Fit, Solder, Natural</t>
  </si>
  <si>
    <r>
      <rPr>
        <rFont val="Inter, Helvetica, Arial, sans-serif"/>
        <color rgb="FF1155CC"/>
        <u/>
      </rPr>
      <t>SparkFun DEV-16771</t>
    </r>
  </si>
  <si>
    <t>Teensy 4.1 Development Board</t>
  </si>
  <si>
    <t>Tracopower TSR 1-2450</t>
  </si>
  <si>
    <t>TRACOPOWER Switching Regulator; 6.5 - 36V dc Input; 5V Output; 1A</t>
  </si>
  <si>
    <t>PCB</t>
  </si>
  <si>
    <t>Cost estimate for 5 of PCB from PCBWay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</si>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</sst>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  <name val="Inter"/>
    </font>
    <font>
      <color theme="1"/>
      <name val="Inter"/>
    </font>
    <font>
      <u/>
      <color rgb="FF0000FF"/>
      <name val="Inter"/>
    </font>
    <font>
      <u/>
      <color rgb="FF0000FF"/>
      <name val="Inter"/>
    </font>
    <font>
      <color rgb="FF9E9E9E"/>
      <name val="Inte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right" readingOrder="0"/>
    </xf>
    <xf borderId="2" fillId="0" fontId="5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wrapText="0"/>
    </xf>
    <xf borderId="2" fillId="0" fontId="3" numFmtId="0" xfId="0" applyBorder="1" applyFont="1"/>
    <xf borderId="2" fillId="0" fontId="5" numFmtId="164" xfId="0" applyAlignment="1" applyBorder="1" applyFont="1" applyNumberFormat="1">
      <alignment horizontal="right" readingOrder="0" shrinkToFit="0" wrapText="0"/>
    </xf>
    <xf borderId="2" fillId="0" fontId="7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0" fillId="0" fontId="3" numFmtId="164" xfId="0" applyFont="1" applyNumberFormat="1"/>
    <xf borderId="4" fillId="0" fontId="1" numFmtId="0" xfId="0" applyAlignment="1" applyBorder="1" applyFont="1">
      <alignment readingOrder="0"/>
    </xf>
    <xf borderId="5" fillId="0" fontId="3" numFmtId="164" xfId="0" applyBorder="1" applyFont="1" applyNumberFormat="1"/>
    <xf borderId="0" fillId="0" fontId="8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164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ctopart.com/eeu-fc1h100l-panasonic-39478539" TargetMode="External"/><Relationship Id="rId2" Type="http://schemas.openxmlformats.org/officeDocument/2006/relationships/hyperlink" Target="https://octopart.com/mc33926pnbr2-nxp+semiconductors-70299439" TargetMode="External"/><Relationship Id="rId3" Type="http://schemas.openxmlformats.org/officeDocument/2006/relationships/hyperlink" Target="https://octopart.com/b6b-zr+%28lf%29%28sn%29-jst-23254640" TargetMode="External"/><Relationship Id="rId4" Type="http://schemas.openxmlformats.org/officeDocument/2006/relationships/hyperlink" Target="https://octopart.com/s3b-eh%28lf%29%28sn%29-jst-248790" TargetMode="External"/><Relationship Id="rId5" Type="http://schemas.openxmlformats.org/officeDocument/2006/relationships/hyperlink" Target="https://octopart.com/4622-adafruit+industries-109144911" TargetMode="External"/><Relationship Id="rId6" Type="http://schemas.openxmlformats.org/officeDocument/2006/relationships/hyperlink" Target="https://www.digikey.com/en/products/detail/traco-power/TSR-1-2450/9383780?utm_source=oemsecrets&amp;utm_medium=aggregator&amp;utm_campaign=buynow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7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>
        <v>0.08</v>
      </c>
      <c r="C2" s="5">
        <v>1.0</v>
      </c>
      <c r="D2" s="5" t="s">
        <v>5</v>
      </c>
    </row>
    <row r="3">
      <c r="A3" s="6" t="s">
        <v>6</v>
      </c>
      <c r="B3" s="7">
        <v>2.0</v>
      </c>
      <c r="C3" s="8">
        <v>2.0</v>
      </c>
      <c r="D3" s="8" t="s">
        <v>7</v>
      </c>
    </row>
    <row r="4">
      <c r="A4" s="9" t="s">
        <v>8</v>
      </c>
      <c r="B4" s="4">
        <v>0.24</v>
      </c>
      <c r="C4" s="5">
        <v>4.0</v>
      </c>
      <c r="D4" s="10"/>
    </row>
    <row r="5">
      <c r="A5" s="9" t="s">
        <v>9</v>
      </c>
      <c r="B5" s="11">
        <v>0.08</v>
      </c>
      <c r="C5" s="5">
        <v>1.0</v>
      </c>
      <c r="D5" s="8" t="s">
        <v>10</v>
      </c>
    </row>
    <row r="6">
      <c r="A6" s="9" t="s">
        <v>11</v>
      </c>
      <c r="B6" s="4">
        <v>41.83</v>
      </c>
      <c r="C6" s="5">
        <v>1.0</v>
      </c>
      <c r="D6" s="8" t="s">
        <v>12</v>
      </c>
    </row>
    <row r="7">
      <c r="A7" s="12" t="s">
        <v>13</v>
      </c>
      <c r="B7" s="4">
        <v>6.16</v>
      </c>
      <c r="C7" s="5">
        <v>1.0</v>
      </c>
      <c r="D7" s="8" t="s">
        <v>14</v>
      </c>
    </row>
    <row r="8">
      <c r="A8" s="13" t="s">
        <v>15</v>
      </c>
      <c r="B8" s="14">
        <v>25.0</v>
      </c>
      <c r="C8" s="13">
        <v>1.0</v>
      </c>
      <c r="D8" s="13" t="s">
        <v>16</v>
      </c>
    </row>
    <row r="9">
      <c r="B9" s="15"/>
    </row>
    <row r="10">
      <c r="A10" s="16" t="s">
        <v>17</v>
      </c>
      <c r="B10" s="17">
        <f>SUMPRODUCT(B2:B8*C2:C8)</f>
        <v>78.11</v>
      </c>
    </row>
    <row r="11">
      <c r="A11" s="18"/>
      <c r="B11" s="15"/>
    </row>
    <row r="12">
      <c r="A12" s="19"/>
      <c r="B12" s="15"/>
    </row>
    <row r="13">
      <c r="A13" s="20"/>
      <c r="B13" s="15"/>
    </row>
    <row r="14">
      <c r="A14" s="21"/>
      <c r="B14" s="15"/>
    </row>
    <row r="15">
      <c r="A15" s="22"/>
      <c r="B15" s="15"/>
    </row>
    <row r="16">
      <c r="A16" s="23"/>
      <c r="B16" s="15"/>
    </row>
    <row r="17">
      <c r="A17" s="24"/>
      <c r="B17" s="15"/>
    </row>
    <row r="18">
      <c r="A18" s="25"/>
      <c r="B18" s="15"/>
    </row>
    <row r="19">
      <c r="A19" s="26"/>
      <c r="B19" s="15"/>
    </row>
    <row r="20">
      <c r="A20" s="21"/>
      <c r="B20" s="15"/>
    </row>
    <row r="21">
      <c r="A21" s="22"/>
      <c r="B21" s="15"/>
    </row>
    <row r="22">
      <c r="A22" s="23"/>
      <c r="B22" s="15"/>
    </row>
    <row r="23">
      <c r="A23" s="24"/>
      <c r="B23" s="15"/>
    </row>
    <row r="24">
      <c r="A24" s="25"/>
      <c r="B24" s="15"/>
    </row>
    <row r="25">
      <c r="A25" s="27"/>
      <c r="B25" s="15"/>
    </row>
    <row r="26">
      <c r="A26" s="21"/>
      <c r="B26" s="15"/>
    </row>
    <row r="27">
      <c r="A27" s="22"/>
      <c r="B27" s="15"/>
    </row>
    <row r="28">
      <c r="A28" s="23"/>
      <c r="B28" s="15"/>
    </row>
    <row r="29">
      <c r="A29" s="24"/>
      <c r="B29" s="15"/>
    </row>
    <row r="30">
      <c r="A30" s="25"/>
      <c r="B30" s="15"/>
    </row>
    <row r="31">
      <c r="A31" s="26"/>
      <c r="B31" s="15"/>
    </row>
    <row r="32">
      <c r="A32" s="21"/>
      <c r="B32" s="15"/>
    </row>
    <row r="33">
      <c r="A33" s="22"/>
      <c r="B33" s="15"/>
    </row>
    <row r="34">
      <c r="A34" s="23"/>
      <c r="B34" s="15"/>
    </row>
    <row r="35">
      <c r="A35" s="24"/>
      <c r="B35" s="15"/>
    </row>
    <row r="36">
      <c r="A36" s="25"/>
      <c r="B36" s="15"/>
    </row>
    <row r="37">
      <c r="A37" s="26"/>
      <c r="B37" s="15"/>
    </row>
    <row r="38">
      <c r="A38" s="21"/>
      <c r="B38" s="15"/>
    </row>
    <row r="39">
      <c r="A39" s="22"/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